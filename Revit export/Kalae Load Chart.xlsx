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rcia\Desktop\Claude Projects\Reshore Calculator\Revit export\"/>
    </mc:Choice>
  </mc:AlternateContent>
  <xr:revisionPtr revIDLastSave="0" documentId="8_{76ADFC4A-AC60-440C-8270-8073C47D3C8B}" xr6:coauthVersionLast="47" xr6:coauthVersionMax="47" xr10:uidLastSave="{00000000-0000-0000-0000-000000000000}"/>
  <bookViews>
    <workbookView xWindow="-120" yWindow="-120" windowWidth="38640" windowHeight="15720" xr2:uid="{A3628979-4524-47BA-B7A7-E10DBCC9E6DD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9" i="1" l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<sst xmlns="http://schemas.openxmlformats.org/spreadsheetml/2006/main" count="19" uniqueCount="19">
  <si>
    <t>Floor Capacities per Structural Loading Diagrams (S0.05-S0.08)</t>
  </si>
  <si>
    <t>Designation</t>
  </si>
  <si>
    <t>SDL (psf)</t>
  </si>
  <si>
    <t>LL (psf)</t>
  </si>
  <si>
    <t>TOTAL CAPACITY (psf)*</t>
  </si>
  <si>
    <t>1*</t>
  </si>
  <si>
    <t>2*</t>
  </si>
  <si>
    <t>3*</t>
  </si>
  <si>
    <t>5*</t>
  </si>
  <si>
    <t>8*</t>
  </si>
  <si>
    <t>14*</t>
  </si>
  <si>
    <t>15*</t>
  </si>
  <si>
    <t>16*</t>
  </si>
  <si>
    <t>17*</t>
  </si>
  <si>
    <t>18*</t>
  </si>
  <si>
    <t>31*</t>
  </si>
  <si>
    <t>32*</t>
  </si>
  <si>
    <t>*Indicates Reducible Live Loads</t>
  </si>
  <si>
    <t>*Total Capacity =(1.6/1.3 x LL) + SDL, 0.6x(1.6/1.3 x LL) + SDL for reducible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</si>
</sst>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" fontId="2" fillId="5" borderId="12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A157-38E1-4E23-A257-819448AF4BC4}">
  <dimension ref="A1:D31"/>
  <sheetViews>
    <sheetView tabSelected="1" workbookViewId="0">
      <selection activeCell="G10" sqref="G10"/>
    </sheetView>
  </sheetViews>
  <sheetFormatPr defaultRowHeight="15" x14ac:dyDescent="0.25"/>
  <cols>
    <col min="1" max="1" width="25.85546875" customWidth="1"/>
    <col min="2" max="2" width="19.5703125" customWidth="1"/>
    <col min="3" max="3" width="17.28515625" customWidth="1"/>
    <col min="4" max="4" width="21.5703125" customWidth="1"/>
  </cols>
  <sheetData>
    <row r="1" spans="1:4" ht="19.5" thickBot="1" x14ac:dyDescent="0.35">
      <c r="A1" s="1" t="s">
        <v>0</v>
      </c>
      <c r="B1" s="1"/>
      <c r="C1" s="1"/>
      <c r="D1" s="1"/>
    </row>
    <row r="2" spans="1:4" ht="15.75" thickBot="1" x14ac:dyDescent="0.3">
      <c r="A2" s="2" t="s">
        <v>1</v>
      </c>
      <c r="B2" s="3" t="s">
        <v>2</v>
      </c>
      <c r="C2" s="3" t="s">
        <v>3</v>
      </c>
      <c r="D2" s="4" t="s">
        <v>4</v>
      </c>
    </row>
    <row r="3" spans="1:4" x14ac:dyDescent="0.25">
      <c r="A3" s="5" t="s">
        <v>5</v>
      </c>
      <c r="B3" s="6">
        <v>25</v>
      </c>
      <c r="C3" s="6">
        <v>40</v>
      </c>
      <c r="D3" s="7">
        <f>ROUNDDOWN(0.6*1.6/1.3*C3+B3,0)</f>
        <v>54</v>
      </c>
    </row>
    <row r="4" spans="1:4" x14ac:dyDescent="0.25">
      <c r="A4" s="8" t="s">
        <v>6</v>
      </c>
      <c r="B4" s="9">
        <v>15</v>
      </c>
      <c r="C4" s="9">
        <v>100</v>
      </c>
      <c r="D4" s="7">
        <f>ROUNDDOWN(0.6*1.6/1.3*C4+B4,0)</f>
        <v>88</v>
      </c>
    </row>
    <row r="5" spans="1:4" x14ac:dyDescent="0.25">
      <c r="A5" s="8" t="s">
        <v>7</v>
      </c>
      <c r="B5" s="9">
        <v>150</v>
      </c>
      <c r="C5" s="9">
        <v>20</v>
      </c>
      <c r="D5" s="7">
        <f>ROUNDDOWN(0.6*1.6/1.3*C5+B5,0)</f>
        <v>164</v>
      </c>
    </row>
    <row r="6" spans="1:4" x14ac:dyDescent="0.25">
      <c r="A6" s="10">
        <v>4</v>
      </c>
      <c r="B6" s="9">
        <v>10</v>
      </c>
      <c r="C6" s="9">
        <v>150</v>
      </c>
      <c r="D6" s="7">
        <f t="shared" ref="D6:D27" si="0">ROUNDDOWN(1.6/1.3*C6+B6,0)</f>
        <v>194</v>
      </c>
    </row>
    <row r="7" spans="1:4" x14ac:dyDescent="0.25">
      <c r="A7" s="8" t="s">
        <v>8</v>
      </c>
      <c r="B7" s="9">
        <v>25</v>
      </c>
      <c r="C7" s="9">
        <v>40</v>
      </c>
      <c r="D7" s="7">
        <f>ROUNDDOWN(0.6*1.6/1.3*C7+B7,0)</f>
        <v>54</v>
      </c>
    </row>
    <row r="8" spans="1:4" x14ac:dyDescent="0.25">
      <c r="A8" s="11">
        <v>6</v>
      </c>
      <c r="B8" s="9">
        <v>15</v>
      </c>
      <c r="C8" s="9">
        <v>100</v>
      </c>
      <c r="D8" s="7">
        <f t="shared" si="0"/>
        <v>138</v>
      </c>
    </row>
    <row r="9" spans="1:4" x14ac:dyDescent="0.25">
      <c r="A9" s="11">
        <v>7</v>
      </c>
      <c r="B9" s="9">
        <v>10</v>
      </c>
      <c r="C9" s="9">
        <v>40</v>
      </c>
      <c r="D9" s="7">
        <f>ROUNDDOWN(1.6/1.3*C9+B9,0)</f>
        <v>59</v>
      </c>
    </row>
    <row r="10" spans="1:4" x14ac:dyDescent="0.25">
      <c r="A10" s="8" t="s">
        <v>9</v>
      </c>
      <c r="B10" s="9">
        <v>5</v>
      </c>
      <c r="C10" s="9">
        <v>100</v>
      </c>
      <c r="D10" s="7">
        <f>ROUNDDOWN(0.6*1.6/1.3*C10+B10,0)</f>
        <v>78</v>
      </c>
    </row>
    <row r="11" spans="1:4" x14ac:dyDescent="0.25">
      <c r="A11" s="10">
        <v>9</v>
      </c>
      <c r="B11" s="9">
        <v>10</v>
      </c>
      <c r="C11" s="9">
        <v>125</v>
      </c>
      <c r="D11" s="7">
        <f t="shared" si="0"/>
        <v>163</v>
      </c>
    </row>
    <row r="12" spans="1:4" x14ac:dyDescent="0.25">
      <c r="A12" s="10">
        <v>10</v>
      </c>
      <c r="B12" s="9">
        <v>25</v>
      </c>
      <c r="C12" s="9">
        <v>100</v>
      </c>
      <c r="D12" s="7">
        <f t="shared" si="0"/>
        <v>148</v>
      </c>
    </row>
    <row r="13" spans="1:4" x14ac:dyDescent="0.25">
      <c r="A13" s="11">
        <v>11</v>
      </c>
      <c r="B13" s="9">
        <v>15</v>
      </c>
      <c r="C13" s="9">
        <v>1700</v>
      </c>
      <c r="D13" s="7">
        <f t="shared" si="0"/>
        <v>2107</v>
      </c>
    </row>
    <row r="14" spans="1:4" x14ac:dyDescent="0.25">
      <c r="A14" s="10">
        <v>12</v>
      </c>
      <c r="B14" s="9">
        <v>340</v>
      </c>
      <c r="C14" s="9">
        <v>50</v>
      </c>
      <c r="D14" s="7">
        <f t="shared" si="0"/>
        <v>401</v>
      </c>
    </row>
    <row r="15" spans="1:4" x14ac:dyDescent="0.25">
      <c r="A15" s="10">
        <v>13</v>
      </c>
      <c r="B15" s="9">
        <v>10</v>
      </c>
      <c r="C15" s="9">
        <v>125</v>
      </c>
      <c r="D15" s="7">
        <f t="shared" si="0"/>
        <v>163</v>
      </c>
    </row>
    <row r="16" spans="1:4" x14ac:dyDescent="0.25">
      <c r="A16" s="8" t="s">
        <v>10</v>
      </c>
      <c r="B16" s="9">
        <v>15</v>
      </c>
      <c r="C16" s="9">
        <v>100</v>
      </c>
      <c r="D16" s="7">
        <f>ROUNDDOWN(0.6*1.6/1.3*C16+B16,0)</f>
        <v>88</v>
      </c>
    </row>
    <row r="17" spans="1:4" x14ac:dyDescent="0.25">
      <c r="A17" s="8" t="s">
        <v>11</v>
      </c>
      <c r="B17" s="9">
        <v>10</v>
      </c>
      <c r="C17" s="9">
        <v>100</v>
      </c>
      <c r="D17" s="7">
        <f>ROUNDDOWN(0.6*1.6/1.3*C17+B17,0)</f>
        <v>83</v>
      </c>
    </row>
    <row r="18" spans="1:4" x14ac:dyDescent="0.25">
      <c r="A18" s="5" t="s">
        <v>12</v>
      </c>
      <c r="B18" s="9">
        <v>25</v>
      </c>
      <c r="C18" s="9">
        <v>100</v>
      </c>
      <c r="D18" s="7">
        <f>ROUNDDOWN(0.6*1.6/1.3*C18+B18,0)</f>
        <v>98</v>
      </c>
    </row>
    <row r="19" spans="1:4" x14ac:dyDescent="0.25">
      <c r="A19" s="8" t="s">
        <v>13</v>
      </c>
      <c r="B19" s="9">
        <v>10</v>
      </c>
      <c r="C19" s="9">
        <v>20</v>
      </c>
      <c r="D19" s="7">
        <f>ROUNDDOWN(0.6*1.6/1.3*C19+B19,0)</f>
        <v>24</v>
      </c>
    </row>
    <row r="20" spans="1:4" x14ac:dyDescent="0.25">
      <c r="A20" s="8" t="s">
        <v>14</v>
      </c>
      <c r="B20" s="9">
        <v>15</v>
      </c>
      <c r="C20" s="9">
        <v>50</v>
      </c>
      <c r="D20" s="7">
        <f>ROUNDDOWN(0.6*1.6/1.3*C20+B20,0)</f>
        <v>51</v>
      </c>
    </row>
    <row r="21" spans="1:4" x14ac:dyDescent="0.25">
      <c r="A21" s="10">
        <v>19</v>
      </c>
      <c r="B21" s="9">
        <v>5</v>
      </c>
      <c r="C21" s="9">
        <v>150</v>
      </c>
      <c r="D21" s="7">
        <f t="shared" si="0"/>
        <v>189</v>
      </c>
    </row>
    <row r="22" spans="1:4" x14ac:dyDescent="0.25">
      <c r="A22" s="10">
        <v>20</v>
      </c>
      <c r="B22" s="9">
        <v>110</v>
      </c>
      <c r="C22" s="9">
        <v>100</v>
      </c>
      <c r="D22" s="7">
        <f t="shared" si="0"/>
        <v>233</v>
      </c>
    </row>
    <row r="23" spans="1:4" x14ac:dyDescent="0.25">
      <c r="A23" s="11">
        <v>21</v>
      </c>
      <c r="B23" s="9">
        <v>220</v>
      </c>
      <c r="C23" s="9">
        <v>100</v>
      </c>
      <c r="D23" s="7">
        <f t="shared" si="0"/>
        <v>343</v>
      </c>
    </row>
    <row r="24" spans="1:4" x14ac:dyDescent="0.25">
      <c r="A24" s="10">
        <v>22</v>
      </c>
      <c r="B24" s="9">
        <v>440</v>
      </c>
      <c r="C24" s="9">
        <v>100</v>
      </c>
      <c r="D24" s="7">
        <f t="shared" si="0"/>
        <v>563</v>
      </c>
    </row>
    <row r="25" spans="1:4" x14ac:dyDescent="0.25">
      <c r="A25" s="10">
        <v>23</v>
      </c>
      <c r="B25" s="9">
        <v>130</v>
      </c>
      <c r="C25" s="9">
        <v>100</v>
      </c>
      <c r="D25" s="7">
        <f t="shared" si="0"/>
        <v>253</v>
      </c>
    </row>
    <row r="26" spans="1:4" x14ac:dyDescent="0.25">
      <c r="A26" s="10">
        <v>25</v>
      </c>
      <c r="B26" s="9">
        <v>175</v>
      </c>
      <c r="C26" s="9">
        <v>60</v>
      </c>
      <c r="D26" s="7">
        <f t="shared" si="0"/>
        <v>248</v>
      </c>
    </row>
    <row r="27" spans="1:4" x14ac:dyDescent="0.25">
      <c r="A27" s="10">
        <v>26</v>
      </c>
      <c r="B27" s="9">
        <v>300</v>
      </c>
      <c r="C27" s="9">
        <v>60</v>
      </c>
      <c r="D27" s="7">
        <f t="shared" si="0"/>
        <v>373</v>
      </c>
    </row>
    <row r="28" spans="1:4" x14ac:dyDescent="0.25">
      <c r="A28" s="5" t="s">
        <v>15</v>
      </c>
      <c r="B28" s="9">
        <v>25</v>
      </c>
      <c r="C28" s="9">
        <v>100</v>
      </c>
      <c r="D28" s="7">
        <f>ROUNDDOWN(0.6*1.6/1.3*C28+B28,0)</f>
        <v>98</v>
      </c>
    </row>
    <row r="29" spans="1:4" ht="15.75" thickBot="1" x14ac:dyDescent="0.3">
      <c r="A29" s="12" t="s">
        <v>16</v>
      </c>
      <c r="B29" s="13">
        <v>25</v>
      </c>
      <c r="C29" s="13">
        <v>60</v>
      </c>
      <c r="D29" s="14">
        <f>ROUNDDOWN(0.6*1.6/1.3*C29+B29,0)</f>
        <v>69</v>
      </c>
    </row>
    <row r="30" spans="1:4" x14ac:dyDescent="0.25">
      <c r="A30" s="15" t="s">
        <v>17</v>
      </c>
      <c r="B30" s="15"/>
      <c r="C30" s="15"/>
      <c r="D30" s="15"/>
    </row>
    <row r="31" spans="1:4" x14ac:dyDescent="0.25">
      <c r="A31" s="16" t="s">
        <v>18</v>
      </c>
      <c r="B31" s="16"/>
      <c r="C31" s="16"/>
      <c r="D31" s="16"/>
    </row>
  </sheetData>
  <mergeCells count="3">
    <mergeCell ref="A1:D1"/>
    <mergeCell ref="A30:D30"/>
    <mergeCell ref="A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Garcia</dc:creator>
  <cp:lastModifiedBy>Adolfo Garcia</cp:lastModifiedBy>
  <dcterms:created xsi:type="dcterms:W3CDTF">2026-09-18T22:27:04Z</dcterms:created>
  <dcterms:modified xsi:type="dcterms:W3CDTF">2026-09-18T22:27:43Z</dcterms:modified>
</cp:coreProperties>
</file>